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LES\Project\Nayana\IX\2026\IX2600585-6084-HPE\"/>
    </mc:Choice>
  </mc:AlternateContent>
  <xr:revisionPtr revIDLastSave="0" documentId="13_ncr:1_{05D759F1-0EA8-49C2-9D5E-6922E7920A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  <sheet name="Product View" sheetId="2" r:id="rId2"/>
  </sheets>
  <definedNames>
    <definedName name="_xlnm._FilterDatabase" localSheetId="0" hidden="1">BOM!$B$1:$B$41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36" i="1" l="1"/>
</calcChain>
</file>

<file path=xl/sharedStrings.xml><?xml version="1.0" encoding="utf-8"?>
<sst xmlns="http://schemas.openxmlformats.org/spreadsheetml/2006/main" count="207" uniqueCount="154">
  <si>
    <t>Config Name: Nayana_IX2600585-6084_DL380 G12 Server_OCA_Config_08062026</t>
  </si>
  <si>
    <t>Qty</t>
  </si>
  <si>
    <t>Product #</t>
  </si>
  <si>
    <t>Product Description</t>
  </si>
  <si>
    <t>CLIC Status</t>
  </si>
  <si>
    <t>Start Date</t>
  </si>
  <si>
    <t>Discontinued Date</t>
  </si>
  <si>
    <t xml:space="preserve">Unit Price (USD) </t>
  </si>
  <si>
    <t>Extended List Price (USD)</t>
  </si>
  <si>
    <t>P73282-B21</t>
  </si>
  <si>
    <t>HPE ProLiant Compute DL380 Gen12 SFF NC Configure-to-order Server</t>
  </si>
  <si>
    <t>02/24/2025</t>
  </si>
  <si>
    <t>06/30/2029</t>
  </si>
  <si>
    <t>P73282-B21  B19</t>
  </si>
  <si>
    <t>HPE DL380 Gen12 SFF NC Configure-to-order Server</t>
  </si>
  <si>
    <t>P74573-B21</t>
  </si>
  <si>
    <t>Intel Xeon 6730P 2.5GHz 32-core 250W Processor for HPE</t>
  </si>
  <si>
    <t>P69728-B21</t>
  </si>
  <si>
    <t>HPE 64GB (1x64GB) Dual Rank x4 DDR5-6400 CAS-52-52-52 EC8 Registered Smart Memory Kit</t>
  </si>
  <si>
    <t>09/24/2024</t>
  </si>
  <si>
    <t>03/31/2028</t>
  </si>
  <si>
    <t>P75740-B21</t>
  </si>
  <si>
    <t>HPE ProLiant Compute DL3XX Gen12 8SFF x1 U.3 Tri-Mode Drive Cage Kit</t>
  </si>
  <si>
    <t>02/28/2028</t>
  </si>
  <si>
    <t>P28586-B21</t>
  </si>
  <si>
    <t>HPE 1.2TB SAS 12G Mission Critical 10K SFF BC 3-year Warranty Multi Vendor HDD</t>
  </si>
  <si>
    <t>04/05/2021</t>
  </si>
  <si>
    <t>06/30/2028</t>
  </si>
  <si>
    <t>P40430-B21</t>
  </si>
  <si>
    <t>HPE 300GB SAS 12G Mission Critical 10K SFF BC 3-year Warranty Multi Vendor HDD</t>
  </si>
  <si>
    <t>P48803-B21</t>
  </si>
  <si>
    <t>HPE ProLiant DL380 Gen11 2U x16/x16/x16 Primary Riser Kit</t>
  </si>
  <si>
    <t>01/10/2023</t>
  </si>
  <si>
    <t>05/31/2028</t>
  </si>
  <si>
    <t>R2E09A</t>
  </si>
  <si>
    <t>HPE SN1610Q 32Gb 2-port Fibre Channel Host Bus Adapter</t>
  </si>
  <si>
    <t>10/07/2019</t>
  </si>
  <si>
    <t>04/30/2027</t>
  </si>
  <si>
    <t>P51083-B21</t>
  </si>
  <si>
    <t>HPE ProLiant DL380 Gen11 2U x16/x16/x16 Secondary Riser Kit</t>
  </si>
  <si>
    <t>P47777-B21</t>
  </si>
  <si>
    <t>HPE MR416i-p Gen11 x16 Lanes 8GB Cache PCI SPDM Plug-in Storage Controller</t>
  </si>
  <si>
    <t>11/10/2022</t>
  </si>
  <si>
    <t>04/30/2029</t>
  </si>
  <si>
    <t>P51178-B21</t>
  </si>
  <si>
    <t>Broadcom BCM5719 Ethernet 1Gb 4-port BASE-T Adapter for HPE</t>
  </si>
  <si>
    <t>06/06/2022</t>
  </si>
  <si>
    <t>12/31/2028</t>
  </si>
  <si>
    <t>P01366-B21</t>
  </si>
  <si>
    <t>HPE 96W Smart Storage Lithium-ion Battery with 145mm Cable Kit</t>
  </si>
  <si>
    <t>12/18/2017</t>
  </si>
  <si>
    <t>P48918-B21</t>
  </si>
  <si>
    <t>HPE ProLiant DL360 Gen11 Storage Controller Enablement Cable Kit</t>
  </si>
  <si>
    <t>P26269-B21</t>
  </si>
  <si>
    <t>Broadcom BCM57504 Ethernet 10/25Gb 4-port SFP28 OCP3 Adapter for HPE</t>
  </si>
  <si>
    <t>09/06/2022</t>
  </si>
  <si>
    <t>P38997-B21</t>
  </si>
  <si>
    <t>HPE 1600W Flex Slot Platinum Hot Plug Low Halogen Power Supply Kit</t>
  </si>
  <si>
    <t>02/01/2021</t>
  </si>
  <si>
    <t>P78145-B21</t>
  </si>
  <si>
    <t>HPE C13 - C14 250V 10Amp 2m FIO Power Cord</t>
  </si>
  <si>
    <t>02/03/2025</t>
  </si>
  <si>
    <t>07/31/2028</t>
  </si>
  <si>
    <t>P72201-B21</t>
  </si>
  <si>
    <t>HPE ProLiant Compute DL3XX/ML350 Gen12 CPU1 to Rear OCP SlotA x16 Cable Kit</t>
  </si>
  <si>
    <t>P72207-B21</t>
  </si>
  <si>
    <t>HPE ProLiant Compute DL3XX/ML350 Gen12 CPU2 to Rear OCP SlotB x16 Cable Kit</t>
  </si>
  <si>
    <t>P76453-B21</t>
  </si>
  <si>
    <t>HPE ProLiant Compute DL380 Gen12 8SFF/2SFF UMB PCIe Cable Kit</t>
  </si>
  <si>
    <t>P48820-B21</t>
  </si>
  <si>
    <t>HPE ProLiant DL380/DL560 Gen11 2U High Performance Fan Kit</t>
  </si>
  <si>
    <t>875519-B21</t>
  </si>
  <si>
    <t>HPE Bezel Lock Kit</t>
  </si>
  <si>
    <t>07/11/2017</t>
  </si>
  <si>
    <t>P50400-B21</t>
  </si>
  <si>
    <t>HPE Gen11 2U Bezel Kit</t>
  </si>
  <si>
    <t>09/30/2028</t>
  </si>
  <si>
    <t>P35876-B21</t>
  </si>
  <si>
    <t>HPE CE Mark Removal FIO Enablement Kit</t>
  </si>
  <si>
    <t>10/05/2020</t>
  </si>
  <si>
    <t>01/31/2027</t>
  </si>
  <si>
    <t>P52341-B21</t>
  </si>
  <si>
    <t>HPE ProLiant DL3XX Gen11 Easy Install Rail 3 Kit</t>
  </si>
  <si>
    <t>05/31/2029</t>
  </si>
  <si>
    <t>P70744-B21</t>
  </si>
  <si>
    <t>HPE ProLiant Compute DL3XX Gen12 2U Cable Management Arm for Rail Kit</t>
  </si>
  <si>
    <t>P73325-B21</t>
  </si>
  <si>
    <t>HPE ProLiant Compute Localization FIO Kit</t>
  </si>
  <si>
    <t>P74792-B21</t>
  </si>
  <si>
    <t>HPE ProLiant Compute DL380 Gen12 Performance Heat Sink Kit</t>
  </si>
  <si>
    <t>P79552-B21</t>
  </si>
  <si>
    <t>HPE ProLiant Compute 30C Maximum Recommended Ambient Temperature Configuration Tracking</t>
  </si>
  <si>
    <t>04/30/2028</t>
  </si>
  <si>
    <t>R7A11AAE</t>
  </si>
  <si>
    <t>HPE Compute Ops Management Standard 3-year Upfront ProLiant SaaS</t>
  </si>
  <si>
    <t>02/29/2028</t>
  </si>
  <si>
    <t>845398-B21</t>
  </si>
  <si>
    <t>HPE 25Gb SFP28 SR 100m Transceiver</t>
  </si>
  <si>
    <t>06/06/2016</t>
  </si>
  <si>
    <t>HU4B2A3</t>
  </si>
  <si>
    <t>HPE 3Y Tech Care Basic Service</t>
  </si>
  <si>
    <t>03/01/2021</t>
  </si>
  <si>
    <t>12/31/2099</t>
  </si>
  <si>
    <t>HU4B2A30C4V</t>
  </si>
  <si>
    <t>HPE DL380 Gen12 Support</t>
  </si>
  <si>
    <t>455883-B21</t>
  </si>
  <si>
    <t>HPE BladeSystem c-Class 10Gb SFP+ SR Transceiver</t>
  </si>
  <si>
    <t>12/01/2008</t>
  </si>
  <si>
    <t>11/30/2030</t>
  </si>
  <si>
    <t>Total</t>
  </si>
  <si>
    <t>UCID: 5154017555-05</t>
  </si>
  <si>
    <t>Category</t>
  </si>
  <si>
    <t>Quantity</t>
  </si>
  <si>
    <t>Category List Price (USD):</t>
  </si>
  <si>
    <t>Total List Price (USD):</t>
  </si>
  <si>
    <t>DL Servers</t>
  </si>
  <si>
    <t>122,848.00</t>
  </si>
  <si>
    <t>11,093,148.00</t>
  </si>
  <si>
    <t xml:space="preserve">     Processors</t>
  </si>
  <si>
    <t>462,704.00</t>
  </si>
  <si>
    <t/>
  </si>
  <si>
    <t xml:space="preserve">     Memory</t>
  </si>
  <si>
    <t>9,719,072.00</t>
  </si>
  <si>
    <t xml:space="preserve">     Risers</t>
  </si>
  <si>
    <t>13,310.00</t>
  </si>
  <si>
    <t xml:space="preserve">     Storage Controllers</t>
  </si>
  <si>
    <t>447,018.00</t>
  </si>
  <si>
    <t xml:space="preserve">     Network Cards</t>
  </si>
  <si>
    <t>67,826.00</t>
  </si>
  <si>
    <t xml:space="preserve">     Drive Cage</t>
  </si>
  <si>
    <t>5,720.00</t>
  </si>
  <si>
    <t xml:space="preserve">     Hard Drives</t>
  </si>
  <si>
    <t>155,452.00</t>
  </si>
  <si>
    <t xml:space="preserve">     Power</t>
  </si>
  <si>
    <t>39,644.00</t>
  </si>
  <si>
    <t xml:space="preserve">     Fans</t>
  </si>
  <si>
    <t>21,384.00</t>
  </si>
  <si>
    <t xml:space="preserve">     Cables</t>
  </si>
  <si>
    <t>7,568.00</t>
  </si>
  <si>
    <t xml:space="preserve">     Rack Options</t>
  </si>
  <si>
    <t>7,392.00</t>
  </si>
  <si>
    <t xml:space="preserve">     Flag SKUs</t>
  </si>
  <si>
    <t>88.00</t>
  </si>
  <si>
    <t xml:space="preserve">     Hardware</t>
  </si>
  <si>
    <t>17,798.00</t>
  </si>
  <si>
    <t xml:space="preserve">     Miscellaneous</t>
  </si>
  <si>
    <t>5,324.00</t>
  </si>
  <si>
    <t>Transceivers</t>
  </si>
  <si>
    <t>592,104.00</t>
  </si>
  <si>
    <t>Software</t>
  </si>
  <si>
    <t>9,900.00</t>
  </si>
  <si>
    <t>Services</t>
  </si>
  <si>
    <t>105,380.00</t>
  </si>
  <si>
    <t>$ 11,800,532.00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</si>
</sst>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indexed="8"/>
      <name val="Calibri"/>
      <family val="2"/>
      <scheme val="minor"/>
    </font>
    <font>
      <sz val="8"/>
      <name val="Times New Roman"/>
    </font>
    <font>
      <sz val="12"/>
      <name val="MetricHPE"/>
    </font>
    <font>
      <b/>
      <sz val="12"/>
      <name val="MetricHPE"/>
    </font>
    <font>
      <sz val="11"/>
      <color indexed="8"/>
      <name val="Calibri"/>
      <family val="2"/>
      <scheme val="minor"/>
    </font>
    <font>
      <b/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5"/>
        <bgColor indexed="64"/>
      </patternFill>
    </fill>
    <fill>
      <patternFill patternType="solid">
        <fgColor theme="5"/>
        <bgColor indexed="9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5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/>
    <xf numFmtId="2" fontId="1" fillId="2" borderId="4" xfId="0" applyNumberFormat="1" applyFont="1" applyFill="1" applyBorder="1"/>
    <xf numFmtId="44" fontId="5" fillId="4" borderId="4" xfId="1" applyFont="1" applyFill="1" applyBorder="1"/>
    <xf numFmtId="0" fontId="5" fillId="3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showGridLines="0" tabSelected="1" workbookViewId="0">
      <selection activeCell="H17" sqref="H17"/>
    </sheetView>
  </sheetViews>
  <sheetFormatPr defaultRowHeight="15" x14ac:dyDescent="0.25"/>
  <cols>
    <col min="1" max="1" width="10.7109375" style="12" customWidth="1"/>
    <col min="2" max="2" width="12.42578125" bestFit="1" customWidth="1"/>
    <col min="3" max="3" width="67" bestFit="1" customWidth="1"/>
    <col min="4" max="5" width="8.28515625" bestFit="1" customWidth="1"/>
    <col min="6" max="6" width="13" bestFit="1" customWidth="1"/>
    <col min="7" max="7" width="12.42578125" bestFit="1" customWidth="1"/>
    <col min="8" max="8" width="17.7109375" bestFit="1" customWidth="1"/>
  </cols>
  <sheetData>
    <row r="1" spans="1:8" x14ac:dyDescent="0.25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</row>
    <row r="2" spans="1:8" x14ac:dyDescent="0.25">
      <c r="A2" s="14">
        <v>22</v>
      </c>
      <c r="B2" s="15" t="s">
        <v>9</v>
      </c>
      <c r="C2" s="15" t="s">
        <v>10</v>
      </c>
      <c r="D2" s="15"/>
      <c r="E2" s="15" t="s">
        <v>11</v>
      </c>
      <c r="F2" s="15" t="s">
        <v>12</v>
      </c>
      <c r="G2" s="16">
        <v>5584</v>
      </c>
      <c r="H2" s="16">
        <v>122848</v>
      </c>
    </row>
    <row r="3" spans="1:8" x14ac:dyDescent="0.25">
      <c r="A3" s="14">
        <v>22</v>
      </c>
      <c r="B3" s="15" t="s">
        <v>13</v>
      </c>
      <c r="C3" s="15" t="s">
        <v>14</v>
      </c>
      <c r="D3" s="15"/>
      <c r="E3" s="15" t="s">
        <v>11</v>
      </c>
      <c r="F3" s="15" t="s">
        <v>12</v>
      </c>
      <c r="G3" s="16">
        <v>0</v>
      </c>
      <c r="H3" s="16">
        <v>0</v>
      </c>
    </row>
    <row r="4" spans="1:8" x14ac:dyDescent="0.25">
      <c r="A4" s="14">
        <v>44</v>
      </c>
      <c r="B4" s="15" t="s">
        <v>15</v>
      </c>
      <c r="C4" s="15" t="s">
        <v>16</v>
      </c>
      <c r="D4" s="15"/>
      <c r="E4" s="15" t="s">
        <v>11</v>
      </c>
      <c r="F4" s="15" t="s">
        <v>12</v>
      </c>
      <c r="G4" s="16">
        <v>10516</v>
      </c>
      <c r="H4" s="16">
        <v>462704</v>
      </c>
    </row>
    <row r="5" spans="1:8" x14ac:dyDescent="0.25">
      <c r="A5" s="14">
        <v>352</v>
      </c>
      <c r="B5" s="15" t="s">
        <v>17</v>
      </c>
      <c r="C5" s="15" t="s">
        <v>18</v>
      </c>
      <c r="D5" s="15"/>
      <c r="E5" s="15" t="s">
        <v>19</v>
      </c>
      <c r="F5" s="15" t="s">
        <v>20</v>
      </c>
      <c r="G5" s="16">
        <v>27611</v>
      </c>
      <c r="H5" s="16">
        <v>9719072</v>
      </c>
    </row>
    <row r="6" spans="1:8" x14ac:dyDescent="0.25">
      <c r="A6" s="14">
        <v>22</v>
      </c>
      <c r="B6" s="15" t="s">
        <v>21</v>
      </c>
      <c r="C6" s="15" t="s">
        <v>22</v>
      </c>
      <c r="D6" s="15"/>
      <c r="E6" s="15" t="s">
        <v>11</v>
      </c>
      <c r="F6" s="15" t="s">
        <v>23</v>
      </c>
      <c r="G6" s="16">
        <v>260</v>
      </c>
      <c r="H6" s="16">
        <v>5720</v>
      </c>
    </row>
    <row r="7" spans="1:8" x14ac:dyDescent="0.25">
      <c r="A7" s="14">
        <v>88</v>
      </c>
      <c r="B7" s="15" t="s">
        <v>24</v>
      </c>
      <c r="C7" s="15" t="s">
        <v>25</v>
      </c>
      <c r="D7" s="15"/>
      <c r="E7" s="15" t="s">
        <v>26</v>
      </c>
      <c r="F7" s="15" t="s">
        <v>27</v>
      </c>
      <c r="G7" s="16">
        <v>1114</v>
      </c>
      <c r="H7" s="16">
        <v>98032</v>
      </c>
    </row>
    <row r="8" spans="1:8" x14ac:dyDescent="0.25">
      <c r="A8" s="14">
        <v>66</v>
      </c>
      <c r="B8" s="15" t="s">
        <v>28</v>
      </c>
      <c r="C8" s="15" t="s">
        <v>29</v>
      </c>
      <c r="D8" s="15"/>
      <c r="E8" s="15" t="s">
        <v>26</v>
      </c>
      <c r="F8" s="15" t="s">
        <v>27</v>
      </c>
      <c r="G8" s="16">
        <v>870</v>
      </c>
      <c r="H8" s="16">
        <v>57420</v>
      </c>
    </row>
    <row r="9" spans="1:8" x14ac:dyDescent="0.25">
      <c r="A9" s="14">
        <v>22</v>
      </c>
      <c r="B9" s="15" t="s">
        <v>30</v>
      </c>
      <c r="C9" s="15" t="s">
        <v>31</v>
      </c>
      <c r="D9" s="15"/>
      <c r="E9" s="15" t="s">
        <v>32</v>
      </c>
      <c r="F9" s="15" t="s">
        <v>33</v>
      </c>
      <c r="G9" s="16">
        <v>262</v>
      </c>
      <c r="H9" s="16">
        <v>5764</v>
      </c>
    </row>
    <row r="10" spans="1:8" x14ac:dyDescent="0.25">
      <c r="A10" s="14">
        <v>44</v>
      </c>
      <c r="B10" s="15" t="s">
        <v>34</v>
      </c>
      <c r="C10" s="15" t="s">
        <v>35</v>
      </c>
      <c r="D10" s="15"/>
      <c r="E10" s="15" t="s">
        <v>36</v>
      </c>
      <c r="F10" s="15" t="s">
        <v>37</v>
      </c>
      <c r="G10" s="16">
        <v>7410</v>
      </c>
      <c r="H10" s="16">
        <v>326040</v>
      </c>
    </row>
    <row r="11" spans="1:8" x14ac:dyDescent="0.25">
      <c r="A11" s="14">
        <v>22</v>
      </c>
      <c r="B11" s="15" t="s">
        <v>38</v>
      </c>
      <c r="C11" s="15" t="s">
        <v>39</v>
      </c>
      <c r="D11" s="15"/>
      <c r="E11" s="15" t="s">
        <v>32</v>
      </c>
      <c r="F11" s="15" t="s">
        <v>33</v>
      </c>
      <c r="G11" s="16">
        <v>343</v>
      </c>
      <c r="H11" s="16">
        <v>7546</v>
      </c>
    </row>
    <row r="12" spans="1:8" x14ac:dyDescent="0.25">
      <c r="A12" s="14">
        <v>22</v>
      </c>
      <c r="B12" s="15" t="s">
        <v>40</v>
      </c>
      <c r="C12" s="15" t="s">
        <v>41</v>
      </c>
      <c r="D12" s="15"/>
      <c r="E12" s="15" t="s">
        <v>42</v>
      </c>
      <c r="F12" s="15" t="s">
        <v>43</v>
      </c>
      <c r="G12" s="16">
        <v>5499</v>
      </c>
      <c r="H12" s="16">
        <v>120978</v>
      </c>
    </row>
    <row r="13" spans="1:8" x14ac:dyDescent="0.25">
      <c r="A13" s="14">
        <v>22</v>
      </c>
      <c r="B13" s="15" t="s">
        <v>44</v>
      </c>
      <c r="C13" s="15" t="s">
        <v>45</v>
      </c>
      <c r="D13" s="15"/>
      <c r="E13" s="15" t="s">
        <v>46</v>
      </c>
      <c r="F13" s="15" t="s">
        <v>47</v>
      </c>
      <c r="G13" s="16">
        <v>485</v>
      </c>
      <c r="H13" s="16">
        <v>10670</v>
      </c>
    </row>
    <row r="14" spans="1:8" x14ac:dyDescent="0.25">
      <c r="A14" s="14">
        <v>22</v>
      </c>
      <c r="B14" s="15" t="s">
        <v>48</v>
      </c>
      <c r="C14" s="15" t="s">
        <v>49</v>
      </c>
      <c r="D14" s="15"/>
      <c r="E14" s="15" t="s">
        <v>50</v>
      </c>
      <c r="F14" s="15" t="s">
        <v>43</v>
      </c>
      <c r="G14" s="16">
        <v>202</v>
      </c>
      <c r="H14" s="16">
        <v>4444</v>
      </c>
    </row>
    <row r="15" spans="1:8" x14ac:dyDescent="0.25">
      <c r="A15" s="14">
        <v>22</v>
      </c>
      <c r="B15" s="15" t="s">
        <v>51</v>
      </c>
      <c r="C15" s="15" t="s">
        <v>52</v>
      </c>
      <c r="D15" s="15"/>
      <c r="E15" s="15" t="s">
        <v>32</v>
      </c>
      <c r="F15" s="15" t="s">
        <v>12</v>
      </c>
      <c r="G15" s="16">
        <v>38</v>
      </c>
      <c r="H15" s="16">
        <v>836</v>
      </c>
    </row>
    <row r="16" spans="1:8" x14ac:dyDescent="0.25">
      <c r="A16" s="14">
        <v>44</v>
      </c>
      <c r="B16" s="15" t="s">
        <v>53</v>
      </c>
      <c r="C16" s="15" t="s">
        <v>54</v>
      </c>
      <c r="D16" s="15"/>
      <c r="E16" s="15" t="s">
        <v>55</v>
      </c>
      <c r="F16" s="15" t="s">
        <v>47</v>
      </c>
      <c r="G16" s="16">
        <v>2598</v>
      </c>
      <c r="H16" s="16">
        <f>G16*A16</f>
        <v>114312</v>
      </c>
    </row>
    <row r="17" spans="1:8" x14ac:dyDescent="0.25">
      <c r="A17" s="14">
        <v>44</v>
      </c>
      <c r="B17" s="15" t="s">
        <v>56</v>
      </c>
      <c r="C17" s="15" t="s">
        <v>57</v>
      </c>
      <c r="D17" s="15"/>
      <c r="E17" s="15" t="s">
        <v>58</v>
      </c>
      <c r="F17" s="15" t="s">
        <v>27</v>
      </c>
      <c r="G17" s="16">
        <v>890</v>
      </c>
      <c r="H17" s="16">
        <v>39160</v>
      </c>
    </row>
    <row r="18" spans="1:8" x14ac:dyDescent="0.25">
      <c r="A18" s="14">
        <v>44</v>
      </c>
      <c r="B18" s="15" t="s">
        <v>59</v>
      </c>
      <c r="C18" s="15" t="s">
        <v>60</v>
      </c>
      <c r="D18" s="15"/>
      <c r="E18" s="15" t="s">
        <v>61</v>
      </c>
      <c r="F18" s="15" t="s">
        <v>62</v>
      </c>
      <c r="G18" s="16">
        <v>11</v>
      </c>
      <c r="H18" s="16">
        <v>484</v>
      </c>
    </row>
    <row r="19" spans="1:8" x14ac:dyDescent="0.25">
      <c r="A19" s="14">
        <v>22</v>
      </c>
      <c r="B19" s="15" t="s">
        <v>63</v>
      </c>
      <c r="C19" s="15" t="s">
        <v>64</v>
      </c>
      <c r="D19" s="15"/>
      <c r="E19" s="15" t="s">
        <v>11</v>
      </c>
      <c r="F19" s="15" t="s">
        <v>23</v>
      </c>
      <c r="G19" s="16">
        <v>84</v>
      </c>
      <c r="H19" s="16">
        <v>1848</v>
      </c>
    </row>
    <row r="20" spans="1:8" x14ac:dyDescent="0.25">
      <c r="A20" s="14">
        <v>22</v>
      </c>
      <c r="B20" s="15" t="s">
        <v>65</v>
      </c>
      <c r="C20" s="15" t="s">
        <v>66</v>
      </c>
      <c r="D20" s="15"/>
      <c r="E20" s="15" t="s">
        <v>11</v>
      </c>
      <c r="F20" s="15" t="s">
        <v>23</v>
      </c>
      <c r="G20" s="16">
        <v>164</v>
      </c>
      <c r="H20" s="16">
        <v>3608</v>
      </c>
    </row>
    <row r="21" spans="1:8" x14ac:dyDescent="0.25">
      <c r="A21" s="14">
        <v>22</v>
      </c>
      <c r="B21" s="15" t="s">
        <v>67</v>
      </c>
      <c r="C21" s="15" t="s">
        <v>68</v>
      </c>
      <c r="D21" s="15"/>
      <c r="E21" s="15" t="s">
        <v>11</v>
      </c>
      <c r="F21" s="15" t="s">
        <v>12</v>
      </c>
      <c r="G21" s="16">
        <v>96</v>
      </c>
      <c r="H21" s="16">
        <v>2112</v>
      </c>
    </row>
    <row r="22" spans="1:8" x14ac:dyDescent="0.25">
      <c r="A22" s="14">
        <v>22</v>
      </c>
      <c r="B22" s="15" t="s">
        <v>69</v>
      </c>
      <c r="C22" s="15" t="s">
        <v>70</v>
      </c>
      <c r="D22" s="15"/>
      <c r="E22" s="15" t="s">
        <v>32</v>
      </c>
      <c r="F22" s="15" t="s">
        <v>33</v>
      </c>
      <c r="G22" s="16">
        <v>972</v>
      </c>
      <c r="H22" s="16">
        <v>21384</v>
      </c>
    </row>
    <row r="23" spans="1:8" x14ac:dyDescent="0.25">
      <c r="A23" s="14">
        <v>22</v>
      </c>
      <c r="B23" s="15" t="s">
        <v>71</v>
      </c>
      <c r="C23" s="15" t="s">
        <v>72</v>
      </c>
      <c r="D23" s="15"/>
      <c r="E23" s="15" t="s">
        <v>73</v>
      </c>
      <c r="F23" s="15" t="s">
        <v>12</v>
      </c>
      <c r="G23" s="16">
        <v>89</v>
      </c>
      <c r="H23" s="16">
        <v>1958</v>
      </c>
    </row>
    <row r="24" spans="1:8" x14ac:dyDescent="0.25">
      <c r="A24" s="14">
        <v>22</v>
      </c>
      <c r="B24" s="15" t="s">
        <v>74</v>
      </c>
      <c r="C24" s="15" t="s">
        <v>75</v>
      </c>
      <c r="D24" s="15"/>
      <c r="E24" s="15" t="s">
        <v>42</v>
      </c>
      <c r="F24" s="15" t="s">
        <v>76</v>
      </c>
      <c r="G24" s="16">
        <v>88</v>
      </c>
      <c r="H24" s="16">
        <v>1936</v>
      </c>
    </row>
    <row r="25" spans="1:8" x14ac:dyDescent="0.25">
      <c r="A25" s="14">
        <v>22</v>
      </c>
      <c r="B25" s="15" t="s">
        <v>77</v>
      </c>
      <c r="C25" s="15" t="s">
        <v>78</v>
      </c>
      <c r="D25" s="15"/>
      <c r="E25" s="15" t="s">
        <v>79</v>
      </c>
      <c r="F25" s="15" t="s">
        <v>80</v>
      </c>
      <c r="G25" s="16">
        <v>1</v>
      </c>
      <c r="H25" s="16">
        <v>22</v>
      </c>
    </row>
    <row r="26" spans="1:8" x14ac:dyDescent="0.25">
      <c r="A26" s="14">
        <v>22</v>
      </c>
      <c r="B26" s="15" t="s">
        <v>81</v>
      </c>
      <c r="C26" s="15" t="s">
        <v>82</v>
      </c>
      <c r="D26" s="15"/>
      <c r="E26" s="15" t="s">
        <v>42</v>
      </c>
      <c r="F26" s="15" t="s">
        <v>83</v>
      </c>
      <c r="G26" s="16">
        <v>164</v>
      </c>
      <c r="H26" s="16">
        <v>3608</v>
      </c>
    </row>
    <row r="27" spans="1:8" x14ac:dyDescent="0.25">
      <c r="A27" s="14">
        <v>22</v>
      </c>
      <c r="B27" s="15" t="s">
        <v>84</v>
      </c>
      <c r="C27" s="15" t="s">
        <v>85</v>
      </c>
      <c r="D27" s="15"/>
      <c r="E27" s="15" t="s">
        <v>11</v>
      </c>
      <c r="F27" s="15" t="s">
        <v>27</v>
      </c>
      <c r="G27" s="16">
        <v>172</v>
      </c>
      <c r="H27" s="16">
        <v>3784</v>
      </c>
    </row>
    <row r="28" spans="1:8" x14ac:dyDescent="0.25">
      <c r="A28" s="14">
        <v>22</v>
      </c>
      <c r="B28" s="15" t="s">
        <v>86</v>
      </c>
      <c r="C28" s="15" t="s">
        <v>87</v>
      </c>
      <c r="D28" s="15"/>
      <c r="E28" s="15" t="s">
        <v>11</v>
      </c>
      <c r="F28" s="15" t="s">
        <v>23</v>
      </c>
      <c r="G28" s="16">
        <v>4</v>
      </c>
      <c r="H28" s="16">
        <v>88</v>
      </c>
    </row>
    <row r="29" spans="1:8" x14ac:dyDescent="0.25">
      <c r="A29" s="14">
        <v>44</v>
      </c>
      <c r="B29" s="15" t="s">
        <v>88</v>
      </c>
      <c r="C29" s="15" t="s">
        <v>89</v>
      </c>
      <c r="D29" s="15"/>
      <c r="E29" s="15" t="s">
        <v>11</v>
      </c>
      <c r="F29" s="15" t="s">
        <v>12</v>
      </c>
      <c r="G29" s="16">
        <v>316</v>
      </c>
      <c r="H29" s="16">
        <v>13904</v>
      </c>
    </row>
    <row r="30" spans="1:8" x14ac:dyDescent="0.25">
      <c r="A30" s="14">
        <v>22</v>
      </c>
      <c r="B30" s="15" t="s">
        <v>90</v>
      </c>
      <c r="C30" s="15" t="s">
        <v>91</v>
      </c>
      <c r="D30" s="15"/>
      <c r="E30" s="15" t="s">
        <v>11</v>
      </c>
      <c r="F30" s="15" t="s">
        <v>92</v>
      </c>
      <c r="G30" s="16">
        <v>1</v>
      </c>
      <c r="H30" s="16">
        <v>22</v>
      </c>
    </row>
    <row r="31" spans="1:8" x14ac:dyDescent="0.25">
      <c r="A31" s="14">
        <v>22</v>
      </c>
      <c r="B31" s="15" t="s">
        <v>93</v>
      </c>
      <c r="C31" s="15" t="s">
        <v>94</v>
      </c>
      <c r="D31" s="15"/>
      <c r="E31" s="15" t="s">
        <v>46</v>
      </c>
      <c r="F31" s="15" t="s">
        <v>95</v>
      </c>
      <c r="G31" s="16">
        <v>450</v>
      </c>
      <c r="H31" s="16">
        <v>9900</v>
      </c>
    </row>
    <row r="32" spans="1:8" x14ac:dyDescent="0.25">
      <c r="A32" s="14">
        <v>204</v>
      </c>
      <c r="B32" s="15" t="s">
        <v>96</v>
      </c>
      <c r="C32" s="15" t="s">
        <v>97</v>
      </c>
      <c r="D32" s="15"/>
      <c r="E32" s="15" t="s">
        <v>98</v>
      </c>
      <c r="F32" s="15" t="s">
        <v>27</v>
      </c>
      <c r="G32" s="16">
        <v>2110</v>
      </c>
      <c r="H32" s="16">
        <v>430440</v>
      </c>
    </row>
    <row r="33" spans="1:9" x14ac:dyDescent="0.25">
      <c r="A33" s="14">
        <v>1</v>
      </c>
      <c r="B33" s="15" t="s">
        <v>99</v>
      </c>
      <c r="C33" s="15" t="s">
        <v>100</v>
      </c>
      <c r="D33" s="15"/>
      <c r="E33" s="15" t="s">
        <v>101</v>
      </c>
      <c r="F33" s="15" t="s">
        <v>102</v>
      </c>
      <c r="G33" s="16">
        <v>0</v>
      </c>
      <c r="H33" s="16">
        <v>0</v>
      </c>
    </row>
    <row r="34" spans="1:9" x14ac:dyDescent="0.25">
      <c r="A34" s="14">
        <v>22</v>
      </c>
      <c r="B34" s="15" t="s">
        <v>103</v>
      </c>
      <c r="C34" s="15" t="s">
        <v>104</v>
      </c>
      <c r="D34" s="15"/>
      <c r="E34" s="15" t="s">
        <v>101</v>
      </c>
      <c r="F34" s="15" t="s">
        <v>102</v>
      </c>
      <c r="G34" s="16">
        <v>4790</v>
      </c>
      <c r="H34" s="16">
        <v>105380</v>
      </c>
    </row>
    <row r="35" spans="1:9" x14ac:dyDescent="0.25">
      <c r="A35" s="14">
        <v>192</v>
      </c>
      <c r="B35" s="15" t="s">
        <v>105</v>
      </c>
      <c r="C35" s="15" t="s">
        <v>106</v>
      </c>
      <c r="D35" s="15"/>
      <c r="E35" s="15" t="s">
        <v>107</v>
      </c>
      <c r="F35" s="15" t="s">
        <v>108</v>
      </c>
      <c r="G35" s="16">
        <v>842</v>
      </c>
      <c r="H35" s="16">
        <v>161664</v>
      </c>
    </row>
    <row r="36" spans="1:9" x14ac:dyDescent="0.25">
      <c r="A36" s="18" t="s">
        <v>109</v>
      </c>
      <c r="B36" s="18"/>
      <c r="C36" s="18"/>
      <c r="D36" s="18"/>
      <c r="E36" s="18"/>
      <c r="F36" s="18"/>
      <c r="G36" s="18"/>
      <c r="H36" s="17">
        <f>SUM(H2:H35)</f>
        <v>11857688</v>
      </c>
      <c r="I36" s="1"/>
    </row>
  </sheetData>
  <mergeCells count="1">
    <mergeCell ref="A36:G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/>
  </sheetViews>
  <sheetFormatPr defaultColWidth="16" defaultRowHeight="15" x14ac:dyDescent="0.25"/>
  <cols>
    <col min="1" max="1" width="30" customWidth="1"/>
    <col min="2" max="2" width="15" customWidth="1"/>
    <col min="3" max="4" width="25" customWidth="1"/>
  </cols>
  <sheetData>
    <row r="1" spans="1:4" ht="15.75" x14ac:dyDescent="0.25">
      <c r="A1" s="2" t="s">
        <v>0</v>
      </c>
    </row>
    <row r="2" spans="1:4" ht="15.75" x14ac:dyDescent="0.25">
      <c r="A2" s="2" t="s">
        <v>110</v>
      </c>
    </row>
    <row r="3" spans="1:4" ht="15.75" x14ac:dyDescent="0.25">
      <c r="A3" s="3" t="s">
        <v>111</v>
      </c>
      <c r="B3" s="3" t="s">
        <v>112</v>
      </c>
      <c r="C3" s="4" t="s">
        <v>113</v>
      </c>
      <c r="D3" s="4" t="s">
        <v>114</v>
      </c>
    </row>
    <row r="4" spans="1:4" ht="15.75" x14ac:dyDescent="0.25">
      <c r="A4" s="8" t="s">
        <v>115</v>
      </c>
      <c r="B4" s="9">
        <v>22</v>
      </c>
      <c r="C4" s="9" t="s">
        <v>116</v>
      </c>
      <c r="D4" s="9" t="s">
        <v>117</v>
      </c>
    </row>
    <row r="5" spans="1:4" ht="15.75" x14ac:dyDescent="0.25">
      <c r="A5" s="2" t="s">
        <v>118</v>
      </c>
      <c r="B5" s="7">
        <v>44</v>
      </c>
      <c r="C5" s="7" t="s">
        <v>119</v>
      </c>
      <c r="D5" s="7" t="s">
        <v>120</v>
      </c>
    </row>
    <row r="6" spans="1:4" ht="15.75" x14ac:dyDescent="0.25">
      <c r="A6" s="2" t="s">
        <v>121</v>
      </c>
      <c r="B6" s="7">
        <v>352</v>
      </c>
      <c r="C6" s="7" t="s">
        <v>122</v>
      </c>
      <c r="D6" s="7" t="s">
        <v>120</v>
      </c>
    </row>
    <row r="7" spans="1:4" ht="15.75" x14ac:dyDescent="0.25">
      <c r="A7" s="2" t="s">
        <v>123</v>
      </c>
      <c r="B7" s="7">
        <v>44</v>
      </c>
      <c r="C7" s="7" t="s">
        <v>124</v>
      </c>
      <c r="D7" s="7" t="s">
        <v>120</v>
      </c>
    </row>
    <row r="8" spans="1:4" ht="15.75" x14ac:dyDescent="0.25">
      <c r="A8" s="2" t="s">
        <v>125</v>
      </c>
      <c r="B8" s="7">
        <v>66</v>
      </c>
      <c r="C8" s="7" t="s">
        <v>126</v>
      </c>
      <c r="D8" s="7" t="s">
        <v>120</v>
      </c>
    </row>
    <row r="9" spans="1:4" ht="15.75" x14ac:dyDescent="0.25">
      <c r="A9" s="2" t="s">
        <v>127</v>
      </c>
      <c r="B9" s="7">
        <v>44</v>
      </c>
      <c r="C9" s="7" t="s">
        <v>128</v>
      </c>
      <c r="D9" s="7" t="s">
        <v>120</v>
      </c>
    </row>
    <row r="10" spans="1:4" ht="15.75" x14ac:dyDescent="0.25">
      <c r="A10" s="2" t="s">
        <v>129</v>
      </c>
      <c r="B10" s="7">
        <v>22</v>
      </c>
      <c r="C10" s="7" t="s">
        <v>130</v>
      </c>
      <c r="D10" s="7" t="s">
        <v>120</v>
      </c>
    </row>
    <row r="11" spans="1:4" ht="15.75" x14ac:dyDescent="0.25">
      <c r="A11" s="2" t="s">
        <v>131</v>
      </c>
      <c r="B11" s="7">
        <v>154</v>
      </c>
      <c r="C11" s="7" t="s">
        <v>132</v>
      </c>
      <c r="D11" s="7" t="s">
        <v>120</v>
      </c>
    </row>
    <row r="12" spans="1:4" ht="15.75" x14ac:dyDescent="0.25">
      <c r="A12" s="2" t="s">
        <v>133</v>
      </c>
      <c r="B12" s="7">
        <v>88</v>
      </c>
      <c r="C12" s="7" t="s">
        <v>134</v>
      </c>
      <c r="D12" s="7" t="s">
        <v>120</v>
      </c>
    </row>
    <row r="13" spans="1:4" ht="15.75" x14ac:dyDescent="0.25">
      <c r="A13" s="2" t="s">
        <v>135</v>
      </c>
      <c r="B13" s="7">
        <v>22</v>
      </c>
      <c r="C13" s="7" t="s">
        <v>136</v>
      </c>
      <c r="D13" s="7" t="s">
        <v>120</v>
      </c>
    </row>
    <row r="14" spans="1:4" ht="15.75" x14ac:dyDescent="0.25">
      <c r="A14" s="2" t="s">
        <v>137</v>
      </c>
      <c r="B14" s="7">
        <v>66</v>
      </c>
      <c r="C14" s="7" t="s">
        <v>138</v>
      </c>
      <c r="D14" s="7" t="s">
        <v>120</v>
      </c>
    </row>
    <row r="15" spans="1:4" ht="15.75" x14ac:dyDescent="0.25">
      <c r="A15" s="2" t="s">
        <v>139</v>
      </c>
      <c r="B15" s="7">
        <v>44</v>
      </c>
      <c r="C15" s="7" t="s">
        <v>140</v>
      </c>
      <c r="D15" s="7" t="s">
        <v>120</v>
      </c>
    </row>
    <row r="16" spans="1:4" ht="15.75" x14ac:dyDescent="0.25">
      <c r="A16" s="2" t="s">
        <v>141</v>
      </c>
      <c r="B16" s="7">
        <v>22</v>
      </c>
      <c r="C16" s="7" t="s">
        <v>142</v>
      </c>
      <c r="D16" s="7" t="s">
        <v>120</v>
      </c>
    </row>
    <row r="17" spans="1:4" ht="15.75" x14ac:dyDescent="0.25">
      <c r="A17" s="2" t="s">
        <v>143</v>
      </c>
      <c r="B17" s="7">
        <v>88</v>
      </c>
      <c r="C17" s="7" t="s">
        <v>144</v>
      </c>
      <c r="D17" s="7" t="s">
        <v>120</v>
      </c>
    </row>
    <row r="18" spans="1:4" ht="15.75" x14ac:dyDescent="0.25">
      <c r="A18" s="2" t="s">
        <v>145</v>
      </c>
      <c r="B18" s="7">
        <v>88</v>
      </c>
      <c r="C18" s="7" t="s">
        <v>146</v>
      </c>
      <c r="D18" s="7" t="s">
        <v>120</v>
      </c>
    </row>
    <row r="19" spans="1:4" ht="15.75" x14ac:dyDescent="0.25">
      <c r="A19" s="10" t="s">
        <v>147</v>
      </c>
      <c r="B19" s="11">
        <v>396</v>
      </c>
      <c r="C19" s="11" t="s">
        <v>148</v>
      </c>
      <c r="D19" s="11" t="s">
        <v>148</v>
      </c>
    </row>
    <row r="20" spans="1:4" ht="15.75" x14ac:dyDescent="0.25">
      <c r="A20" s="10" t="s">
        <v>149</v>
      </c>
      <c r="B20" s="11">
        <v>22</v>
      </c>
      <c r="C20" s="11" t="s">
        <v>150</v>
      </c>
      <c r="D20" s="11" t="s">
        <v>150</v>
      </c>
    </row>
    <row r="21" spans="1:4" ht="15.75" x14ac:dyDescent="0.25">
      <c r="A21" s="10" t="s">
        <v>151</v>
      </c>
      <c r="B21" s="11">
        <v>23</v>
      </c>
      <c r="C21" s="11" t="s">
        <v>152</v>
      </c>
      <c r="D21" s="11" t="s">
        <v>152</v>
      </c>
    </row>
    <row r="22" spans="1:4" ht="15.75" x14ac:dyDescent="0.25">
      <c r="A22" s="5" t="s">
        <v>114</v>
      </c>
      <c r="B22" s="6"/>
      <c r="C22" s="6"/>
      <c r="D22" s="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Product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2026-06-24T14:43:09Z</dcterms:created>
  <dcterms:modified xsi:type="dcterms:W3CDTF">2026-06-25T06:03:43Z</dcterms:modified>
</cp:coreProperties>
</file>